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780" activeTab="2"/>
  </bookViews>
  <sheets>
    <sheet name="TITULAR" sheetId="2" r:id="rId1"/>
    <sheet name="INFORMES" sheetId="3" r:id="rId2"/>
    <sheet name="NOTAS" sheetId="4" r:id="rId3"/>
    <sheet name="RESUMO" sheetId="5" r:id="rId4"/>
    <sheet name="TABELAS" sheetId="6" state="hidden" r:id="rId5"/>
  </sheets>
  <definedNames>
    <definedName name="lista_bancos">TABELAS!$A$2:$A$51</definedName>
    <definedName name="lista_categorias">TABELAS!$C$2:$C$4</definedName>
    <definedName name="datas">NOTAS!$B$9:$B$500</definedName>
    <definedName name="categorias_notas">NOTAS!$C$9:$C$500</definedName>
    <definedName name="valores">NOTAS!$D$9:$D$500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<sst xmlns="http://schemas.openxmlformats.org/spreadsheetml/2006/main" count="157" uniqueCount="124">
  <si>
    <t>1. DADOS DO TITULAR</t>
  </si>
  <si>
    <t>Preencha os dados da sua pessoa física. Células amarelas são de preenchimento.</t>
  </si>
  <si>
    <t>CAMPO</t>
  </si>
  <si>
    <t>INFORMAÇÃO</t>
  </si>
  <si>
    <t>SITUAÇÃO</t>
  </si>
  <si>
    <t>NOME</t>
  </si>
  <si>
    <t>Guilherme Siqueira Wacilikiw</t>
  </si>
  <si>
    <t>CPF (só números)</t>
  </si>
  <si>
    <t>12345678909</t>
  </si>
  <si>
    <t>NASCIMENTO</t>
  </si>
  <si>
    <t>TÍTULO DE ELEITOR</t>
  </si>
  <si>
    <t>123456789012</t>
  </si>
  <si>
    <t>CÔNJUGE</t>
  </si>
  <si>
    <t>Evelyn Tainara</t>
  </si>
  <si>
    <t>ENDEREÇO</t>
  </si>
  <si>
    <t>Rua José Mascarenhas</t>
  </si>
  <si>
    <t>CEP (só números)</t>
  </si>
  <si>
    <t>01001000</t>
  </si>
  <si>
    <t>TELEFONE</t>
  </si>
  <si>
    <t>1133334444</t>
  </si>
  <si>
    <t>CELULAR</t>
  </si>
  <si>
    <t>11999998888</t>
  </si>
  <si>
    <t>E-MAIL</t>
  </si>
  <si>
    <t>Guilherme.wacilikiw@gmail.com</t>
  </si>
  <si>
    <t>HOUVE ALTERAÇÕES DA ENTREGA ANTERIOR?</t>
  </si>
  <si>
    <t>NÃO</t>
  </si>
  <si>
    <t>DEPENDENTE CÔNJUGE?</t>
  </si>
  <si>
    <t>RESIDENTE DO EXTERIOR?</t>
  </si>
  <si>
    <t>2. INFORMES DE RENDIMENTOS BANCÁRIOS</t>
  </si>
  <si>
    <t>Preencha com os dados de cada banco (até 3).</t>
  </si>
  <si>
    <t>TOTAL EM BANCOS</t>
  </si>
  <si>
    <t>1º BANCO</t>
  </si>
  <si>
    <t/>
  </si>
  <si>
    <t>BANCO</t>
  </si>
  <si>
    <t>336 - C6 Bank</t>
  </si>
  <si>
    <t>VALOR ATUAL</t>
  </si>
  <si>
    <t>ANEXO (nome do arquivo)</t>
  </si>
  <si>
    <t>informe_banco1.pdf</t>
  </si>
  <si>
    <t>2º BANCO</t>
  </si>
  <si>
    <t>33 - Banco Santander</t>
  </si>
  <si>
    <t>informe_banco2.pdf</t>
  </si>
  <si>
    <t>3º BANCO</t>
  </si>
  <si>
    <t>260 - Nubank</t>
  </si>
  <si>
    <t>informe_banco3.pdf</t>
  </si>
  <si>
    <t>3. NOTAS BANCÁRIAS OU HOLERITES</t>
  </si>
  <si>
    <t>Cada entrada de receita, mês a mês. Digite na primeira linha livre da tabela.</t>
  </si>
  <si>
    <t>DATA</t>
  </si>
  <si>
    <t>CATEGORIA</t>
  </si>
  <si>
    <t>VALOR</t>
  </si>
  <si>
    <t>HOLERITE</t>
  </si>
  <si>
    <t>FREELANCE</t>
  </si>
  <si>
    <t>CNPJ</t>
  </si>
  <si>
    <t>4. RESUMO PARA A DECLARAÇÃO</t>
  </si>
  <si>
    <t>Tudo é calculado a partir das abas anteriores.</t>
  </si>
  <si>
    <t>Total de entradas</t>
  </si>
  <si>
    <t>Quantidade de lançamentos</t>
  </si>
  <si>
    <t>Média mensal</t>
  </si>
  <si>
    <t>Total em bancos (informes)</t>
  </si>
  <si>
    <t>ENTRADAS POR CATEGORIA</t>
  </si>
  <si>
    <t>Valor</t>
  </si>
  <si>
    <t>% do total</t>
  </si>
  <si>
    <t>ENTRADAS POR MÊS</t>
  </si>
  <si>
    <t>Nº do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</si>
  <si>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</si>
  <si>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</si>
  <si>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</si>
  <si>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</si>
  <si>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</si>
  <si>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</si>
  <si>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</si>
  <si>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</si>
  <si>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</si>
  <si>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</si>
  <si>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</si>
  <si>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</si>
  <si>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bancos</t>
  </si>
  <si>
    <t>categorias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</si>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</sst>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</numFmts>
  <fonts count="27">
    <font>
      <sz val="11"/>
      <color theme="1"/>
      <name val="Calibri"/>
      <charset val="134"/>
      <scheme val="minor"/>
    </font>
    <font>
      <u/>
      <sz val="11"/>
      <color rgb="FF1F4E9E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i/>
      <sz val="11"/>
      <color rgb="FFD9E2E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1F4E9E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E7D6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180" fontId="0" fillId="3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4" fillId="4" borderId="0" xfId="0" applyFont="1" applyFill="1"/>
    <xf numFmtId="9" fontId="0" fillId="3" borderId="1" xfId="0" applyNumberFormat="1" applyFill="1" applyBorder="1" applyAlignment="1">
      <alignment horizontal="right"/>
    </xf>
    <xf numFmtId="0" fontId="0" fillId="0" borderId="0" xfId="0" applyAlignment="1">
      <alignment horizontal="center"/>
    </xf>
    <xf numFmtId="58" fontId="0" fillId="0" borderId="0" xfId="0" applyNumberFormat="1"/>
    <xf numFmtId="180" fontId="0" fillId="0" borderId="0" xfId="0" applyNumberFormat="1"/>
    <xf numFmtId="0" fontId="5" fillId="0" borderId="0" xfId="0" applyFont="1"/>
    <xf numFmtId="0" fontId="6" fillId="5" borderId="1" xfId="0" applyFont="1" applyFill="1" applyBorder="1" applyAlignment="1">
      <alignment horizontal="left"/>
    </xf>
    <xf numFmtId="180" fontId="6" fillId="5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58" fontId="6" fillId="5" borderId="1" xfId="0" applyNumberFormat="1" applyFont="1" applyFill="1" applyBorder="1" applyAlignment="1">
      <alignment horizontal="left"/>
    </xf>
    <xf numFmtId="0" fontId="7" fillId="5" borderId="1" xfId="6" applyFill="1" applyBorder="1" applyAlignment="1">
      <alignment horizontal="left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PT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Entradas por 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RESUMO!$D$16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E7D6B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RESUMO!$B$17:$B$28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RESUMO!$D$17:$D$28</c:f>
              <c:numCache>
                <c:formatCode>"R$"\ #,##0.00</c:formatCode>
                <c:ptCount val="12"/>
                <c:pt idx="0">
                  <c:v>4200</c:v>
                </c:pt>
                <c:pt idx="1">
                  <c:v>4200</c:v>
                </c:pt>
                <c:pt idx="2">
                  <c:v>5000</c:v>
                </c:pt>
                <c:pt idx="3">
                  <c:v>4200</c:v>
                </c:pt>
                <c:pt idx="4">
                  <c:v>4350</c:v>
                </c:pt>
                <c:pt idx="5">
                  <c:v>5550</c:v>
                </c:pt>
                <c:pt idx="6">
                  <c:v>4350</c:v>
                </c:pt>
                <c:pt idx="7">
                  <c:v>4350</c:v>
                </c:pt>
                <c:pt idx="8">
                  <c:v>6850</c:v>
                </c:pt>
                <c:pt idx="9">
                  <c:v>4350</c:v>
                </c:pt>
                <c:pt idx="10">
                  <c:v>5300</c:v>
                </c:pt>
                <c:pt idx="11">
                  <c:v>4350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R$&quot;\ 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PT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33508b2-ace0-47df-b412-9cf903774a9f}"/>
      </c:ext>
    </c:extLst>
  </c:chart>
  <c:txPr>
    <a:bodyPr/>
    <a:lstStyle/>
    <a:p>
      <a:pPr>
        <a:defRPr lang="pt-PT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4</xdr:row>
      <xdr:rowOff>0</xdr:rowOff>
    </xdr:from>
    <xdr:ext cx="5760000" cy="2880000"/>
    <xdr:graphicFrame>
      <xdr:nvGraphicFramePr>
        <xdr:cNvPr id="2" name="Chart 1"/>
        <xdr:cNvGraphicFramePr/>
      </xdr:nvGraphicFramePr>
      <xdr:xfrm>
        <a:off x="5133975" y="927100"/>
        <a:ext cx="575945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a1" displayName="Tabela1" ref="B8:D24">
  <autoFilter xmlns:etc="http://www.wps.cn/officeDocument/2017/etCustomData" ref="B8:D24" etc:filterBottomFollowUsedRange="0"/>
  <tableColumns count="3">
    <tableColumn id="2" name="DATA"/>
    <tableColumn id="3" name="CATEGORIA"/>
    <tableColumn id="4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ilherme.wacilikiw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8"/>
  <sheetViews>
    <sheetView showGridLines="0" showRowColHeaders="0" workbookViewId="0">
      <selection activeCell="C15" sqref="C15"/>
    </sheetView>
  </sheetViews>
  <sheetFormatPr defaultColWidth="9" defaultRowHeight="15" outlineLevelCol="3"/>
  <cols>
    <col min="1" max="1" width="2" customWidth="1"/>
    <col min="2" max="2" width="44" customWidth="1"/>
    <col min="3" max="3" width="38" customWidth="1"/>
    <col min="4" max="4" width="14" customWidth="1"/>
  </cols>
  <sheetData>
    <row r="1" spans="2:4">
      <c r="B1" s="1" t="str">
        <f>HYPERLINK("#MENU!A1","&lt; Voltar ao menu")</f>
        <v>&lt; Voltar ao menu</v>
      </c>
    </row>
    <row r="2" ht="28" customHeight="1" spans="2:4">
      <c r="B2" s="2" t="s">
        <v>0</v>
      </c>
      <c r="C2" s="3"/>
      <c r="D2" s="3"/>
    </row>
    <row r="3" spans="2:4">
      <c r="B3" s="4" t="s">
        <v>1</v>
      </c>
      <c r="C3" s="3"/>
      <c r="D3" s="3"/>
    </row>
    <row r="5" spans="2:4">
      <c r="B5" s="7" t="s">
        <v>2</v>
      </c>
      <c r="C5" s="7" t="s">
        <v>3</v>
      </c>
      <c r="D5" s="7" t="s">
        <v>4</v>
      </c>
    </row>
    <row r="6" spans="2:4">
      <c r="B6" t="s">
        <v>5</v>
      </c>
      <c r="C6" s="13" t="s">
        <v>6</v>
      </c>
      <c r="D6" s="15" t="str">
        <f t="shared" ref="D6:D18" si="0">IF(C6="","Pendente","OK")</f>
        <v>OK</v>
      </c>
    </row>
    <row r="7" spans="2:4">
      <c r="B7" t="s">
        <v>7</v>
      </c>
      <c r="C7" s="16" t="s">
        <v>8</v>
      </c>
      <c r="D7" s="15" t="str">
        <f t="shared" si="0"/>
        <v>OK</v>
      </c>
    </row>
    <row r="8" spans="2:4">
      <c r="B8" t="s">
        <v>9</v>
      </c>
      <c r="C8" s="17">
        <v>33010</v>
      </c>
      <c r="D8" s="15" t="str">
        <f t="shared" si="0"/>
        <v>OK</v>
      </c>
    </row>
    <row r="9" spans="2:4">
      <c r="B9" t="s">
        <v>10</v>
      </c>
      <c r="C9" s="16" t="s">
        <v>11</v>
      </c>
      <c r="D9" s="15" t="str">
        <f t="shared" si="0"/>
        <v>OK</v>
      </c>
    </row>
    <row r="10" spans="2:4">
      <c r="B10" t="s">
        <v>12</v>
      </c>
      <c r="C10" s="13" t="s">
        <v>13</v>
      </c>
      <c r="D10" s="15" t="str">
        <f t="shared" si="0"/>
        <v>OK</v>
      </c>
    </row>
    <row r="11" spans="2:4">
      <c r="B11" t="s">
        <v>14</v>
      </c>
      <c r="C11" s="13" t="s">
        <v>15</v>
      </c>
      <c r="D11" s="15" t="str">
        <f t="shared" si="0"/>
        <v>OK</v>
      </c>
    </row>
    <row r="12" spans="2:4">
      <c r="B12" t="s">
        <v>16</v>
      </c>
      <c r="C12" s="16" t="s">
        <v>17</v>
      </c>
      <c r="D12" s="15" t="str">
        <f t="shared" si="0"/>
        <v>OK</v>
      </c>
    </row>
    <row r="13" spans="2:4">
      <c r="B13" t="s">
        <v>18</v>
      </c>
      <c r="C13" s="16" t="s">
        <v>19</v>
      </c>
      <c r="D13" s="15" t="str">
        <f t="shared" si="0"/>
        <v>OK</v>
      </c>
    </row>
    <row r="14" spans="2:4">
      <c r="B14" t="s">
        <v>20</v>
      </c>
      <c r="C14" s="16" t="s">
        <v>21</v>
      </c>
      <c r="D14" s="15" t="str">
        <f t="shared" si="0"/>
        <v>OK</v>
      </c>
    </row>
    <row r="15" spans="2:4">
      <c r="B15" t="s">
        <v>22</v>
      </c>
      <c r="C15" s="18" t="s">
        <v>23</v>
      </c>
      <c r="D15" s="15" t="str">
        <f t="shared" si="0"/>
        <v>OK</v>
      </c>
    </row>
    <row r="16" spans="2:4">
      <c r="B16" t="s">
        <v>24</v>
      </c>
      <c r="C16" s="13" t="s">
        <v>25</v>
      </c>
      <c r="D16" s="15" t="str">
        <f t="shared" si="0"/>
        <v>OK</v>
      </c>
    </row>
    <row r="17" spans="2:4">
      <c r="B17" t="s">
        <v>26</v>
      </c>
      <c r="C17" s="13" t="s">
        <v>25</v>
      </c>
      <c r="D17" s="15" t="str">
        <f t="shared" si="0"/>
        <v>OK</v>
      </c>
    </row>
    <row r="18" spans="2:4">
      <c r="B18" t="s">
        <v>27</v>
      </c>
      <c r="C18" s="13" t="s">
        <v>25</v>
      </c>
      <c r="D18" s="15" t="str">
        <f t="shared" si="0"/>
        <v>OK</v>
      </c>
    </row>
  </sheetData>
  <dataValidations count="5">
    <dataValidation type="textLength" operator="equal" allowBlank="1" showErrorMessage="1" errorTitle="CPF inválido" error="Digite os 11 números do CPF, sem pontos e traço." sqref="C7">
      <formula1>11</formula1>
    </dataValidation>
    <dataValidation type="date" operator="between" allowBlank="1" showErrorMessage="1" errorTitle="Data inválida" error="Informe uma data de nascimento válida, até hoje." sqref="C8">
      <formula1>DATE(1900,1,1)</formula1>
      <formula2>TODAY()</formula2>
    </dataValidation>
    <dataValidation type="textLength" operator="equal" allowBlank="1" showErrorMessage="1" errorTitle="CEP inválido" error="Digite os 8 números do CEP." sqref="C12">
      <formula1>8</formula1>
    </dataValidation>
    <dataValidation type="custom" allowBlank="1" showErrorMessage="1" errorTitle="E-mail inválido" error="O e-mail precisa conter @." sqref="C15">
      <formula1>ISNUMBER(FIND("@",C15))</formula1>
    </dataValidation>
    <dataValidation type="list" allowBlank="1" showErrorMessage="1" errorTitle="Opção inválida" error="Escolha SIM ou NÃO." sqref="C16:C18">
      <formula1>"SIM,NÃO"</formula1>
    </dataValidation>
  </dataValidations>
  <hyperlinks>
    <hyperlink ref="C15" r:id="rId1" display="Guilherme.wacilikiw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0"/>
  <sheetViews>
    <sheetView showGridLines="0" showRowColHeaders="0" workbookViewId="0">
      <selection activeCell="A1" sqref="A1"/>
    </sheetView>
  </sheetViews>
  <sheetFormatPr defaultColWidth="9" defaultRowHeight="15" outlineLevelCol="3"/>
  <cols>
    <col min="1" max="1" width="2" customWidth="1"/>
    <col min="2" max="2" width="30" customWidth="1"/>
    <col min="3" max="3" width="44" customWidth="1"/>
    <col min="4" max="4" width="14" customWidth="1"/>
  </cols>
  <sheetData>
    <row r="1" spans="2:4">
      <c r="B1" s="1" t="str">
        <f>HYPERLINK("#MENU!A1","&lt; Voltar ao menu")</f>
        <v>&lt; Voltar ao menu</v>
      </c>
    </row>
    <row r="2" ht="28" customHeight="1" spans="2:4">
      <c r="B2" s="2" t="s">
        <v>28</v>
      </c>
      <c r="C2" s="3"/>
      <c r="D2" s="3"/>
    </row>
    <row r="3" spans="2:4">
      <c r="B3" s="4" t="s">
        <v>29</v>
      </c>
      <c r="C3" s="3"/>
      <c r="D3" s="3"/>
    </row>
    <row r="5" spans="2:4">
      <c r="B5" s="12" t="s">
        <v>30</v>
      </c>
      <c r="C5" s="5">
        <f>SUM(C9,C14,C19)</f>
        <v>25000.5</v>
      </c>
    </row>
    <row r="7" spans="2:4">
      <c r="B7" s="7" t="s">
        <v>31</v>
      </c>
      <c r="C7" s="7" t="s">
        <v>32</v>
      </c>
    </row>
    <row r="8" spans="2:4">
      <c r="B8" t="s">
        <v>33</v>
      </c>
      <c r="C8" s="13" t="s">
        <v>34</v>
      </c>
    </row>
    <row r="9" spans="2:4">
      <c r="B9" t="s">
        <v>35</v>
      </c>
      <c r="C9" s="14">
        <v>12500</v>
      </c>
    </row>
    <row r="10" spans="2:4">
      <c r="B10" t="s">
        <v>36</v>
      </c>
      <c r="C10" s="13" t="s">
        <v>37</v>
      </c>
    </row>
    <row r="12" spans="2:4">
      <c r="B12" s="7" t="s">
        <v>38</v>
      </c>
      <c r="C12" s="7" t="s">
        <v>32</v>
      </c>
    </row>
    <row r="13" spans="2:4">
      <c r="B13" t="s">
        <v>33</v>
      </c>
      <c r="C13" s="13" t="s">
        <v>39</v>
      </c>
    </row>
    <row r="14" spans="2:4">
      <c r="B14" t="s">
        <v>35</v>
      </c>
      <c r="C14" s="14">
        <v>8300.5</v>
      </c>
    </row>
    <row r="15" spans="2:4">
      <c r="B15" t="s">
        <v>36</v>
      </c>
      <c r="C15" s="13" t="s">
        <v>40</v>
      </c>
    </row>
    <row r="17" spans="2:3">
      <c r="B17" s="7" t="s">
        <v>41</v>
      </c>
      <c r="C17" s="7" t="s">
        <v>32</v>
      </c>
    </row>
    <row r="18" spans="2:3">
      <c r="B18" t="s">
        <v>33</v>
      </c>
      <c r="C18" s="13" t="s">
        <v>42</v>
      </c>
    </row>
    <row r="19" spans="2:3">
      <c r="B19" t="s">
        <v>35</v>
      </c>
      <c r="C19" s="14">
        <v>4200</v>
      </c>
    </row>
    <row r="20" spans="2:3">
      <c r="B20" t="s">
        <v>36</v>
      </c>
      <c r="C20" s="13" t="s">
        <v>43</v>
      </c>
    </row>
  </sheetData>
  <dataValidations count="2">
    <dataValidation type="list" allowBlank="1" showErrorMessage="1" errorTitle="Banco inválido" error="Escolha um banco da lista." sqref="C8 C13 C18">
      <formula1>lista_bancos</formula1>
    </dataValidation>
    <dataValidation type="decimal" operator="greaterThanOrEqual" allowBlank="1" showErrorMessage="1" errorTitle="Valor inválido" error="Informe um valor maior ou igual a zero." sqref="C9 C14 C19">
      <formula1>0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500"/>
  <sheetViews>
    <sheetView showGridLines="0" tabSelected="1" workbookViewId="0">
      <pane ySplit="8" topLeftCell="A9" activePane="bottomLeft" state="frozen"/>
      <selection/>
      <selection pane="bottomLeft" activeCell="D11" sqref="D11"/>
    </sheetView>
  </sheetViews>
  <sheetFormatPr defaultColWidth="9" defaultRowHeight="15" outlineLevelCol="3"/>
  <cols>
    <col min="1" max="1" width="2" customWidth="1"/>
    <col min="2" max="2" width="16" customWidth="1"/>
    <col min="3" max="3" width="22" customWidth="1"/>
    <col min="4" max="4" width="18" customWidth="1"/>
  </cols>
  <sheetData>
    <row r="1" spans="2:4">
      <c r="B1" s="1" t="str">
        <f>HYPERLINK("#MENU!A1","&lt; Voltar ao menu")</f>
        <v>&lt; Voltar ao menu</v>
      </c>
    </row>
    <row r="2" ht="28" customHeight="1" spans="2:4">
      <c r="B2" s="2" t="s">
        <v>44</v>
      </c>
      <c r="C2" s="3"/>
      <c r="D2" s="3"/>
    </row>
    <row r="3" spans="2:4">
      <c r="B3" s="4" t="s">
        <v>45</v>
      </c>
      <c r="C3" s="3"/>
      <c r="D3" s="3"/>
    </row>
    <row r="8" spans="2:4">
      <c r="B8" s="7" t="s">
        <v>46</v>
      </c>
      <c r="C8" s="7" t="s">
        <v>47</v>
      </c>
      <c r="D8" s="7" t="s">
        <v>48</v>
      </c>
    </row>
    <row r="9" spans="2:4">
      <c r="B9" s="10">
        <v>45688</v>
      </c>
      <c r="C9" t="s">
        <v>49</v>
      </c>
      <c r="D9" s="11">
        <v>4200</v>
      </c>
    </row>
    <row r="10" spans="2:4">
      <c r="B10" s="10">
        <v>45716</v>
      </c>
      <c r="C10" t="s">
        <v>49</v>
      </c>
      <c r="D10" s="11">
        <v>4200</v>
      </c>
    </row>
    <row r="11" spans="2:4">
      <c r="B11" s="10">
        <v>45747</v>
      </c>
      <c r="C11" t="s">
        <v>49</v>
      </c>
      <c r="D11" s="11">
        <v>4200</v>
      </c>
    </row>
    <row r="12" spans="2:4">
      <c r="B12" s="10">
        <v>45777</v>
      </c>
      <c r="C12" t="s">
        <v>49</v>
      </c>
      <c r="D12" s="11">
        <v>4200</v>
      </c>
    </row>
    <row r="13" spans="2:4">
      <c r="B13" s="10">
        <v>45807</v>
      </c>
      <c r="C13" t="s">
        <v>49</v>
      </c>
      <c r="D13" s="11">
        <v>4350</v>
      </c>
    </row>
    <row r="14" spans="2:4">
      <c r="B14" s="10">
        <v>45838</v>
      </c>
      <c r="C14" t="s">
        <v>49</v>
      </c>
      <c r="D14" s="11">
        <v>4350</v>
      </c>
    </row>
    <row r="15" spans="2:4">
      <c r="B15" s="10">
        <v>45869</v>
      </c>
      <c r="C15" t="s">
        <v>49</v>
      </c>
      <c r="D15" s="11">
        <v>4350</v>
      </c>
    </row>
    <row r="16" spans="2:4">
      <c r="B16" s="10">
        <v>45898</v>
      </c>
      <c r="C16" t="s">
        <v>49</v>
      </c>
      <c r="D16" s="11">
        <v>4350</v>
      </c>
    </row>
    <row r="17" spans="2:4">
      <c r="B17" s="10">
        <v>45930</v>
      </c>
      <c r="C17" t="s">
        <v>49</v>
      </c>
      <c r="D17" s="11">
        <v>4350</v>
      </c>
    </row>
    <row r="18" spans="2:4">
      <c r="B18" s="10">
        <v>45961</v>
      </c>
      <c r="C18" t="s">
        <v>49</v>
      </c>
      <c r="D18" s="11">
        <v>4350</v>
      </c>
    </row>
    <row r="19" spans="2:4">
      <c r="B19" s="10">
        <v>45989</v>
      </c>
      <c r="C19" t="s">
        <v>49</v>
      </c>
      <c r="D19" s="11">
        <v>4350</v>
      </c>
    </row>
    <row r="20" spans="2:4">
      <c r="B20" s="10">
        <v>46021</v>
      </c>
      <c r="C20" t="s">
        <v>49</v>
      </c>
      <c r="D20" s="11">
        <v>4350</v>
      </c>
    </row>
    <row r="21" spans="2:4">
      <c r="B21" s="10">
        <v>45731</v>
      </c>
      <c r="C21" t="s">
        <v>50</v>
      </c>
      <c r="D21" s="11">
        <v>800</v>
      </c>
    </row>
    <row r="22" spans="2:4">
      <c r="B22" s="10">
        <v>45828</v>
      </c>
      <c r="C22" t="s">
        <v>50</v>
      </c>
      <c r="D22" s="11">
        <v>1200</v>
      </c>
    </row>
    <row r="23" spans="2:4">
      <c r="B23" s="10">
        <v>45910</v>
      </c>
      <c r="C23" t="s">
        <v>51</v>
      </c>
      <c r="D23" s="11">
        <v>2500</v>
      </c>
    </row>
    <row r="24" spans="2:4">
      <c r="B24" s="10">
        <v>45966</v>
      </c>
      <c r="C24" t="s">
        <v>50</v>
      </c>
      <c r="D24" s="11">
        <v>950</v>
      </c>
    </row>
    <row r="25" spans="2:4">
      <c r="B25" s="10"/>
      <c r="D25" s="11"/>
    </row>
    <row r="26" spans="2:4">
      <c r="B26" s="10"/>
      <c r="D26" s="11"/>
    </row>
    <row r="27" spans="2:4">
      <c r="B27" s="10"/>
      <c r="D27" s="11"/>
    </row>
    <row r="28" spans="2:4">
      <c r="B28" s="10"/>
      <c r="D28" s="11"/>
    </row>
    <row r="29" spans="2:4">
      <c r="B29" s="10"/>
      <c r="D29" s="11"/>
    </row>
    <row r="30" spans="2:4">
      <c r="B30" s="10"/>
      <c r="D30" s="11"/>
    </row>
    <row r="31" spans="2:4">
      <c r="B31" s="10"/>
      <c r="D31" s="11"/>
    </row>
    <row r="32" spans="2:4">
      <c r="B32" s="10"/>
      <c r="D32" s="11"/>
    </row>
    <row r="33" spans="2:4">
      <c r="B33" s="10"/>
      <c r="D33" s="11"/>
    </row>
    <row r="34" spans="2:4">
      <c r="B34" s="10"/>
      <c r="D34" s="11"/>
    </row>
    <row r="35" spans="2:4">
      <c r="B35" s="10"/>
      <c r="D35" s="11"/>
    </row>
    <row r="36" spans="2:4">
      <c r="B36" s="10"/>
      <c r="D36" s="11"/>
    </row>
    <row r="37" spans="2:4">
      <c r="B37" s="10"/>
      <c r="D37" s="11"/>
    </row>
    <row r="38" spans="2:4">
      <c r="B38" s="10"/>
      <c r="D38" s="11"/>
    </row>
    <row r="39" spans="2:4">
      <c r="B39" s="10"/>
      <c r="D39" s="11"/>
    </row>
    <row r="40" spans="2:4">
      <c r="B40" s="10"/>
      <c r="D40" s="11"/>
    </row>
    <row r="41" spans="2:4">
      <c r="B41" s="10"/>
      <c r="D41" s="11"/>
    </row>
    <row r="42" spans="2:4">
      <c r="B42" s="10"/>
      <c r="D42" s="11"/>
    </row>
    <row r="43" spans="2:4">
      <c r="B43" s="10"/>
      <c r="D43" s="11"/>
    </row>
    <row r="44" spans="2:4">
      <c r="B44" s="10"/>
      <c r="D44" s="11"/>
    </row>
    <row r="45" spans="2:4">
      <c r="B45" s="10"/>
      <c r="D45" s="11"/>
    </row>
    <row r="46" spans="2:4">
      <c r="B46" s="10"/>
      <c r="D46" s="11"/>
    </row>
    <row r="47" spans="2:4">
      <c r="B47" s="10"/>
      <c r="D47" s="11"/>
    </row>
    <row r="48" spans="2:4">
      <c r="B48" s="10"/>
      <c r="D48" s="11"/>
    </row>
    <row r="49" spans="2:4">
      <c r="B49" s="10"/>
      <c r="D49" s="11"/>
    </row>
    <row r="50" spans="2:4">
      <c r="B50" s="10"/>
      <c r="D50" s="11"/>
    </row>
    <row r="51" spans="2:4">
      <c r="B51" s="10"/>
      <c r="D51" s="11"/>
    </row>
    <row r="52" spans="2:4">
      <c r="B52" s="10"/>
      <c r="D52" s="11"/>
    </row>
    <row r="53" spans="2:4">
      <c r="B53" s="10"/>
      <c r="D53" s="11"/>
    </row>
    <row r="54" spans="2:4">
      <c r="B54" s="10"/>
      <c r="D54" s="11"/>
    </row>
    <row r="55" spans="2:4">
      <c r="B55" s="10"/>
      <c r="D55" s="11"/>
    </row>
    <row r="56" spans="2:4">
      <c r="B56" s="10"/>
      <c r="D56" s="11"/>
    </row>
    <row r="57" spans="2:4">
      <c r="B57" s="10"/>
      <c r="D57" s="11"/>
    </row>
    <row r="58" spans="2:4">
      <c r="B58" s="10"/>
      <c r="D58" s="11"/>
    </row>
    <row r="59" spans="2:4">
      <c r="B59" s="10"/>
      <c r="D59" s="11"/>
    </row>
    <row r="60" spans="2:4">
      <c r="B60" s="10"/>
      <c r="D60" s="11"/>
    </row>
    <row r="61" spans="2:4">
      <c r="B61" s="10"/>
      <c r="D61" s="11"/>
    </row>
    <row r="62" spans="2:4">
      <c r="B62" s="10"/>
      <c r="D62" s="11"/>
    </row>
    <row r="63" spans="2:4">
      <c r="B63" s="10"/>
      <c r="D63" s="11"/>
    </row>
    <row r="64" spans="2:4">
      <c r="B64" s="10"/>
      <c r="D64" s="11"/>
    </row>
    <row r="65" spans="2:4">
      <c r="B65" s="10"/>
      <c r="D65" s="11"/>
    </row>
    <row r="66" spans="2:4">
      <c r="B66" s="10"/>
      <c r="D66" s="11"/>
    </row>
    <row r="67" spans="2:4">
      <c r="B67" s="10"/>
      <c r="D67" s="11"/>
    </row>
    <row r="68" spans="2:4">
      <c r="B68" s="10"/>
      <c r="D68" s="11"/>
    </row>
    <row r="69" spans="2:4">
      <c r="B69" s="10"/>
      <c r="D69" s="11"/>
    </row>
    <row r="70" spans="2:4">
      <c r="B70" s="10"/>
      <c r="D70" s="11"/>
    </row>
    <row r="71" spans="2:4">
      <c r="B71" s="10"/>
      <c r="D71" s="11"/>
    </row>
    <row r="72" spans="2:4">
      <c r="B72" s="10"/>
      <c r="D72" s="11"/>
    </row>
    <row r="73" spans="2:4">
      <c r="B73" s="10"/>
      <c r="D73" s="11"/>
    </row>
    <row r="74" spans="2:4">
      <c r="B74" s="10"/>
      <c r="D74" s="11"/>
    </row>
    <row r="75" spans="2:4">
      <c r="B75" s="10"/>
      <c r="D75" s="11"/>
    </row>
    <row r="76" spans="2:4">
      <c r="B76" s="10"/>
      <c r="D76" s="11"/>
    </row>
    <row r="77" spans="2:4">
      <c r="B77" s="10"/>
      <c r="D77" s="11"/>
    </row>
    <row r="78" spans="2:4">
      <c r="B78" s="10"/>
      <c r="D78" s="11"/>
    </row>
    <row r="79" spans="2:4">
      <c r="B79" s="10"/>
      <c r="D79" s="11"/>
    </row>
    <row r="80" spans="2:4">
      <c r="B80" s="10"/>
      <c r="D80" s="11"/>
    </row>
    <row r="81" spans="2:4">
      <c r="B81" s="10"/>
      <c r="D81" s="11"/>
    </row>
    <row r="82" spans="2:4">
      <c r="B82" s="10"/>
      <c r="D82" s="11"/>
    </row>
    <row r="83" spans="2:4">
      <c r="B83" s="10"/>
      <c r="D83" s="11"/>
    </row>
    <row r="84" spans="2:4">
      <c r="B84" s="10"/>
      <c r="D84" s="11"/>
    </row>
    <row r="85" spans="2:4">
      <c r="B85" s="10"/>
      <c r="D85" s="11"/>
    </row>
    <row r="86" spans="2:4">
      <c r="B86" s="10"/>
      <c r="D86" s="11"/>
    </row>
    <row r="87" spans="2:4">
      <c r="B87" s="10"/>
      <c r="D87" s="11"/>
    </row>
    <row r="88" spans="2:4">
      <c r="B88" s="10"/>
      <c r="D88" s="11"/>
    </row>
    <row r="89" spans="2:4">
      <c r="B89" s="10"/>
      <c r="D89" s="11"/>
    </row>
    <row r="90" spans="2:4">
      <c r="B90" s="10"/>
      <c r="D90" s="11"/>
    </row>
    <row r="91" spans="2:4">
      <c r="B91" s="10"/>
      <c r="D91" s="11"/>
    </row>
    <row r="92" spans="2:4">
      <c r="B92" s="10"/>
      <c r="D92" s="11"/>
    </row>
    <row r="93" spans="2:4">
      <c r="B93" s="10"/>
      <c r="D93" s="11"/>
    </row>
    <row r="94" spans="2:4">
      <c r="B94" s="10"/>
      <c r="D94" s="11"/>
    </row>
    <row r="95" spans="2:4">
      <c r="B95" s="10"/>
      <c r="D95" s="11"/>
    </row>
    <row r="96" spans="2:4">
      <c r="B96" s="10"/>
      <c r="D96" s="11"/>
    </row>
    <row r="97" spans="2:4">
      <c r="B97" s="10"/>
      <c r="D97" s="11"/>
    </row>
    <row r="98" spans="2:4">
      <c r="B98" s="10"/>
      <c r="D98" s="11"/>
    </row>
    <row r="99" spans="2:4">
      <c r="B99" s="10"/>
      <c r="D99" s="11"/>
    </row>
    <row r="100" spans="2:4">
      <c r="B100" s="10"/>
      <c r="D100" s="11"/>
    </row>
    <row r="101" spans="2:4">
      <c r="B101" s="10"/>
      <c r="D101" s="11"/>
    </row>
    <row r="102" spans="2:4">
      <c r="B102" s="10"/>
      <c r="D102" s="11"/>
    </row>
    <row r="103" spans="2:4">
      <c r="B103" s="10"/>
      <c r="D103" s="11"/>
    </row>
    <row r="104" spans="2:4">
      <c r="B104" s="10"/>
      <c r="D104" s="11"/>
    </row>
    <row r="105" spans="2:4">
      <c r="B105" s="10"/>
      <c r="D105" s="11"/>
    </row>
    <row r="106" spans="2:4">
      <c r="B106" s="10"/>
      <c r="D106" s="11"/>
    </row>
    <row r="107" spans="2:4">
      <c r="B107" s="10"/>
      <c r="D107" s="11"/>
    </row>
    <row r="108" spans="2:4">
      <c r="B108" s="10"/>
      <c r="D108" s="11"/>
    </row>
    <row r="109" spans="2:4">
      <c r="B109" s="10"/>
      <c r="D109" s="11"/>
    </row>
    <row r="110" spans="2:4">
      <c r="B110" s="10"/>
      <c r="D110" s="11"/>
    </row>
    <row r="111" spans="2:4">
      <c r="B111" s="10"/>
      <c r="D111" s="11"/>
    </row>
    <row r="112" spans="2:4">
      <c r="B112" s="10"/>
      <c r="D112" s="11"/>
    </row>
    <row r="113" spans="2:4">
      <c r="B113" s="10"/>
      <c r="D113" s="11"/>
    </row>
    <row r="114" spans="2:4">
      <c r="B114" s="10"/>
      <c r="D114" s="11"/>
    </row>
    <row r="115" spans="2:4">
      <c r="B115" s="10"/>
      <c r="D115" s="11"/>
    </row>
    <row r="116" spans="2:4">
      <c r="B116" s="10"/>
      <c r="D116" s="11"/>
    </row>
    <row r="117" spans="2:4">
      <c r="B117" s="10"/>
      <c r="D117" s="11"/>
    </row>
    <row r="118" spans="2:4">
      <c r="B118" s="10"/>
      <c r="D118" s="11"/>
    </row>
    <row r="119" spans="2:4">
      <c r="B119" s="10"/>
      <c r="D119" s="11"/>
    </row>
    <row r="120" spans="2:4">
      <c r="B120" s="10"/>
      <c r="D120" s="11"/>
    </row>
    <row r="121" spans="2:4">
      <c r="B121" s="10"/>
      <c r="D121" s="11"/>
    </row>
    <row r="122" spans="2:4">
      <c r="B122" s="10"/>
      <c r="D122" s="11"/>
    </row>
    <row r="123" spans="2:4">
      <c r="B123" s="10"/>
      <c r="D123" s="11"/>
    </row>
    <row r="124" spans="2:4">
      <c r="B124" s="10"/>
      <c r="D124" s="11"/>
    </row>
    <row r="125" spans="2:4">
      <c r="B125" s="10"/>
      <c r="D125" s="11"/>
    </row>
    <row r="126" spans="2:4">
      <c r="B126" s="10"/>
      <c r="D126" s="11"/>
    </row>
    <row r="127" spans="2:4">
      <c r="B127" s="10"/>
      <c r="D127" s="11"/>
    </row>
    <row r="128" spans="2:4">
      <c r="B128" s="10"/>
      <c r="D128" s="11"/>
    </row>
    <row r="129" spans="2:4">
      <c r="B129" s="10"/>
      <c r="D129" s="11"/>
    </row>
    <row r="130" spans="2:4">
      <c r="B130" s="10"/>
      <c r="D130" s="11"/>
    </row>
    <row r="131" spans="2:4">
      <c r="B131" s="10"/>
      <c r="D131" s="11"/>
    </row>
    <row r="132" spans="2:4">
      <c r="B132" s="10"/>
      <c r="D132" s="11"/>
    </row>
    <row r="133" spans="2:4">
      <c r="B133" s="10"/>
      <c r="D133" s="11"/>
    </row>
    <row r="134" spans="2:4">
      <c r="B134" s="10"/>
      <c r="D134" s="11"/>
    </row>
    <row r="135" spans="2:4">
      <c r="B135" s="10"/>
      <c r="D135" s="11"/>
    </row>
    <row r="136" spans="2:4">
      <c r="B136" s="10"/>
      <c r="D136" s="11"/>
    </row>
    <row r="137" spans="2:4">
      <c r="B137" s="10"/>
      <c r="D137" s="11"/>
    </row>
    <row r="138" spans="2:4">
      <c r="B138" s="10"/>
      <c r="D138" s="11"/>
    </row>
    <row r="139" spans="2:4">
      <c r="B139" s="10"/>
      <c r="D139" s="11"/>
    </row>
    <row r="140" spans="2:4">
      <c r="B140" s="10"/>
      <c r="D140" s="11"/>
    </row>
    <row r="141" spans="2:4">
      <c r="B141" s="10"/>
      <c r="D141" s="11"/>
    </row>
    <row r="142" spans="2:4">
      <c r="B142" s="10"/>
      <c r="D142" s="11"/>
    </row>
    <row r="143" spans="2:4">
      <c r="B143" s="10"/>
      <c r="D143" s="11"/>
    </row>
    <row r="144" spans="2:4">
      <c r="B144" s="10"/>
      <c r="D144" s="11"/>
    </row>
    <row r="145" spans="2:4">
      <c r="B145" s="10"/>
      <c r="D145" s="11"/>
    </row>
    <row r="146" spans="2:4">
      <c r="B146" s="10"/>
      <c r="D146" s="11"/>
    </row>
    <row r="147" spans="2:4">
      <c r="B147" s="10"/>
      <c r="D147" s="11"/>
    </row>
    <row r="148" spans="2:4">
      <c r="B148" s="10"/>
      <c r="D148" s="11"/>
    </row>
    <row r="149" spans="2:4">
      <c r="B149" s="10"/>
      <c r="D149" s="11"/>
    </row>
    <row r="150" spans="2:4">
      <c r="B150" s="10"/>
      <c r="D150" s="11"/>
    </row>
    <row r="151" spans="2:4">
      <c r="B151" s="10"/>
      <c r="D151" s="11"/>
    </row>
    <row r="152" spans="2:4">
      <c r="B152" s="10"/>
      <c r="D152" s="11"/>
    </row>
    <row r="153" spans="2:4">
      <c r="B153" s="10"/>
      <c r="D153" s="11"/>
    </row>
    <row r="154" spans="2:4">
      <c r="B154" s="10"/>
      <c r="D154" s="11"/>
    </row>
    <row r="155" spans="2:4">
      <c r="B155" s="10"/>
      <c r="D155" s="11"/>
    </row>
    <row r="156" spans="2:4">
      <c r="B156" s="10"/>
      <c r="D156" s="11"/>
    </row>
    <row r="157" spans="2:4">
      <c r="B157" s="10"/>
      <c r="D157" s="11"/>
    </row>
    <row r="158" spans="2:4">
      <c r="B158" s="10"/>
      <c r="D158" s="11"/>
    </row>
    <row r="159" spans="2:4">
      <c r="B159" s="10"/>
      <c r="D159" s="11"/>
    </row>
    <row r="160" spans="2:4">
      <c r="B160" s="10"/>
      <c r="D160" s="11"/>
    </row>
    <row r="161" spans="2:4">
      <c r="B161" s="10"/>
      <c r="D161" s="11"/>
    </row>
    <row r="162" spans="2:4">
      <c r="B162" s="10"/>
      <c r="D162" s="11"/>
    </row>
    <row r="163" spans="2:4">
      <c r="B163" s="10"/>
      <c r="D163" s="11"/>
    </row>
    <row r="164" spans="2:4">
      <c r="B164" s="10"/>
      <c r="D164" s="11"/>
    </row>
    <row r="165" spans="2:4">
      <c r="B165" s="10"/>
      <c r="D165" s="11"/>
    </row>
    <row r="166" spans="2:4">
      <c r="B166" s="10"/>
      <c r="D166" s="11"/>
    </row>
    <row r="167" spans="2:4">
      <c r="B167" s="10"/>
      <c r="D167" s="11"/>
    </row>
    <row r="168" spans="2:4">
      <c r="B168" s="10"/>
      <c r="D168" s="11"/>
    </row>
    <row r="169" spans="2:4">
      <c r="B169" s="10"/>
      <c r="D169" s="11"/>
    </row>
    <row r="170" spans="2:4">
      <c r="B170" s="10"/>
      <c r="D170" s="11"/>
    </row>
    <row r="171" spans="2:4">
      <c r="B171" s="10"/>
      <c r="D171" s="11"/>
    </row>
    <row r="172" spans="2:4">
      <c r="B172" s="10"/>
      <c r="D172" s="11"/>
    </row>
    <row r="173" spans="2:4">
      <c r="B173" s="10"/>
      <c r="D173" s="11"/>
    </row>
    <row r="174" spans="2:4">
      <c r="B174" s="10"/>
      <c r="D174" s="11"/>
    </row>
    <row r="175" spans="2:4">
      <c r="B175" s="10"/>
      <c r="D175" s="11"/>
    </row>
    <row r="176" spans="2:4">
      <c r="B176" s="10"/>
      <c r="D176" s="11"/>
    </row>
    <row r="177" spans="2:4">
      <c r="B177" s="10"/>
      <c r="D177" s="11"/>
    </row>
    <row r="178" spans="2:4">
      <c r="B178" s="10"/>
      <c r="D178" s="11"/>
    </row>
    <row r="179" spans="2:4">
      <c r="B179" s="10"/>
      <c r="D179" s="11"/>
    </row>
    <row r="180" spans="2:4">
      <c r="B180" s="10"/>
      <c r="D180" s="11"/>
    </row>
    <row r="181" spans="2:4">
      <c r="B181" s="10"/>
      <c r="D181" s="11"/>
    </row>
    <row r="182" spans="2:4">
      <c r="B182" s="10"/>
      <c r="D182" s="11"/>
    </row>
    <row r="183" spans="2:4">
      <c r="B183" s="10"/>
      <c r="D183" s="11"/>
    </row>
    <row r="184" spans="2:4">
      <c r="B184" s="10"/>
      <c r="D184" s="11"/>
    </row>
    <row r="185" spans="2:4">
      <c r="B185" s="10"/>
      <c r="D185" s="11"/>
    </row>
    <row r="186" spans="2:4">
      <c r="B186" s="10"/>
      <c r="D186" s="11"/>
    </row>
    <row r="187" spans="2:4">
      <c r="B187" s="10"/>
      <c r="D187" s="11"/>
    </row>
    <row r="188" spans="2:4">
      <c r="B188" s="10"/>
      <c r="D188" s="11"/>
    </row>
    <row r="189" spans="2:4">
      <c r="B189" s="10"/>
      <c r="D189" s="11"/>
    </row>
    <row r="190" spans="2:4">
      <c r="B190" s="10"/>
      <c r="D190" s="11"/>
    </row>
    <row r="191" spans="2:4">
      <c r="B191" s="10"/>
      <c r="D191" s="11"/>
    </row>
    <row r="192" spans="2:4">
      <c r="B192" s="10"/>
      <c r="D192" s="11"/>
    </row>
    <row r="193" spans="2:4">
      <c r="B193" s="10"/>
      <c r="D193" s="11"/>
    </row>
    <row r="194" spans="2:4">
      <c r="B194" s="10"/>
      <c r="D194" s="11"/>
    </row>
    <row r="195" spans="2:4">
      <c r="B195" s="10"/>
      <c r="D195" s="11"/>
    </row>
    <row r="196" spans="2:4">
      <c r="B196" s="10"/>
      <c r="D196" s="11"/>
    </row>
    <row r="197" spans="2:4">
      <c r="B197" s="10"/>
      <c r="D197" s="11"/>
    </row>
    <row r="198" spans="2:4">
      <c r="B198" s="10"/>
      <c r="D198" s="11"/>
    </row>
    <row r="199" spans="2:4">
      <c r="B199" s="10"/>
      <c r="D199" s="11"/>
    </row>
    <row r="200" spans="2:4">
      <c r="B200" s="10"/>
      <c r="D200" s="11"/>
    </row>
    <row r="201" spans="2:4">
      <c r="B201" s="10"/>
      <c r="D201" s="11"/>
    </row>
    <row r="202" spans="2:4">
      <c r="B202" s="10"/>
      <c r="D202" s="11"/>
    </row>
    <row r="203" spans="2:4">
      <c r="B203" s="10"/>
      <c r="D203" s="11"/>
    </row>
    <row r="204" spans="2:4">
      <c r="B204" s="10"/>
      <c r="D204" s="11"/>
    </row>
    <row r="205" spans="2:4">
      <c r="B205" s="10"/>
      <c r="D205" s="11"/>
    </row>
    <row r="206" spans="2:4">
      <c r="B206" s="10"/>
      <c r="D206" s="11"/>
    </row>
    <row r="207" spans="2:4">
      <c r="B207" s="10"/>
      <c r="D207" s="11"/>
    </row>
    <row r="208" spans="2:4">
      <c r="B208" s="10"/>
      <c r="D208" s="11"/>
    </row>
    <row r="209" spans="2:4">
      <c r="B209" s="10"/>
      <c r="D209" s="11"/>
    </row>
    <row r="210" spans="2:4">
      <c r="B210" s="10"/>
      <c r="D210" s="11"/>
    </row>
    <row r="211" spans="2:4">
      <c r="B211" s="10"/>
      <c r="D211" s="11"/>
    </row>
    <row r="212" spans="2:4">
      <c r="B212" s="10"/>
      <c r="D212" s="11"/>
    </row>
    <row r="213" spans="2:4">
      <c r="B213" s="10"/>
      <c r="D213" s="11"/>
    </row>
    <row r="214" spans="2:4">
      <c r="B214" s="10"/>
      <c r="D214" s="11"/>
    </row>
    <row r="215" spans="2:4">
      <c r="B215" s="10"/>
      <c r="D215" s="11"/>
    </row>
    <row r="216" spans="2:4">
      <c r="B216" s="10"/>
      <c r="D216" s="11"/>
    </row>
    <row r="217" spans="2:4">
      <c r="B217" s="10"/>
      <c r="D217" s="11"/>
    </row>
    <row r="218" spans="2:4">
      <c r="B218" s="10"/>
      <c r="D218" s="11"/>
    </row>
    <row r="219" spans="2:4">
      <c r="B219" s="10"/>
      <c r="D219" s="11"/>
    </row>
    <row r="220" spans="2:4">
      <c r="B220" s="10"/>
      <c r="D220" s="11"/>
    </row>
    <row r="221" spans="2:4">
      <c r="B221" s="10"/>
      <c r="D221" s="11"/>
    </row>
    <row r="222" spans="2:4">
      <c r="B222" s="10"/>
      <c r="D222" s="11"/>
    </row>
    <row r="223" spans="2:4">
      <c r="B223" s="10"/>
      <c r="D223" s="11"/>
    </row>
    <row r="224" spans="2:4">
      <c r="B224" s="10"/>
      <c r="D224" s="11"/>
    </row>
    <row r="225" spans="2:4">
      <c r="B225" s="10"/>
      <c r="D225" s="11"/>
    </row>
    <row r="226" spans="2:4">
      <c r="B226" s="10"/>
      <c r="D226" s="11"/>
    </row>
    <row r="227" spans="2:4">
      <c r="B227" s="10"/>
      <c r="D227" s="11"/>
    </row>
    <row r="228" spans="2:4">
      <c r="B228" s="10"/>
      <c r="D228" s="11"/>
    </row>
    <row r="229" spans="2:4">
      <c r="B229" s="10"/>
      <c r="D229" s="11"/>
    </row>
    <row r="230" spans="2:4">
      <c r="B230" s="10"/>
      <c r="D230" s="11"/>
    </row>
    <row r="231" spans="2:4">
      <c r="B231" s="10"/>
      <c r="D231" s="11"/>
    </row>
    <row r="232" spans="2:4">
      <c r="B232" s="10"/>
      <c r="D232" s="11"/>
    </row>
    <row r="233" spans="2:4">
      <c r="B233" s="10"/>
      <c r="D233" s="11"/>
    </row>
    <row r="234" spans="2:4">
      <c r="B234" s="10"/>
      <c r="D234" s="11"/>
    </row>
    <row r="235" spans="2:4">
      <c r="B235" s="10"/>
      <c r="D235" s="11"/>
    </row>
    <row r="236" spans="2:4">
      <c r="B236" s="10"/>
      <c r="D236" s="11"/>
    </row>
    <row r="237" spans="2:4">
      <c r="B237" s="10"/>
      <c r="D237" s="11"/>
    </row>
    <row r="238" spans="2:4">
      <c r="B238" s="10"/>
      <c r="D238" s="11"/>
    </row>
    <row r="239" spans="2:4">
      <c r="B239" s="10"/>
      <c r="D239" s="11"/>
    </row>
    <row r="240" spans="2:4">
      <c r="B240" s="10"/>
      <c r="D240" s="11"/>
    </row>
    <row r="241" spans="2:4">
      <c r="B241" s="10"/>
      <c r="D241" s="11"/>
    </row>
    <row r="242" spans="2:4">
      <c r="B242" s="10"/>
      <c r="D242" s="11"/>
    </row>
    <row r="243" spans="2:4">
      <c r="B243" s="10"/>
      <c r="D243" s="11"/>
    </row>
    <row r="244" spans="2:4">
      <c r="B244" s="10"/>
      <c r="D244" s="11"/>
    </row>
    <row r="245" spans="2:4">
      <c r="B245" s="10"/>
      <c r="D245" s="11"/>
    </row>
    <row r="246" spans="2:4">
      <c r="B246" s="10"/>
      <c r="D246" s="11"/>
    </row>
    <row r="247" spans="2:4">
      <c r="B247" s="10"/>
      <c r="D247" s="11"/>
    </row>
    <row r="248" spans="2:4">
      <c r="B248" s="10"/>
      <c r="D248" s="11"/>
    </row>
    <row r="249" spans="2:4">
      <c r="B249" s="10"/>
      <c r="D249" s="11"/>
    </row>
    <row r="250" spans="2:4">
      <c r="B250" s="10"/>
      <c r="D250" s="11"/>
    </row>
    <row r="251" spans="2:4">
      <c r="B251" s="10"/>
      <c r="D251" s="11"/>
    </row>
    <row r="252" spans="2:4">
      <c r="B252" s="10"/>
      <c r="D252" s="11"/>
    </row>
    <row r="253" spans="2:4">
      <c r="B253" s="10"/>
      <c r="D253" s="11"/>
    </row>
    <row r="254" spans="2:4">
      <c r="B254" s="10"/>
      <c r="D254" s="11"/>
    </row>
    <row r="255" spans="2:4">
      <c r="B255" s="10"/>
      <c r="D255" s="11"/>
    </row>
    <row r="256" spans="2:4">
      <c r="B256" s="10"/>
      <c r="D256" s="11"/>
    </row>
    <row r="257" spans="2:4">
      <c r="B257" s="10"/>
      <c r="D257" s="11"/>
    </row>
    <row r="258" spans="2:4">
      <c r="B258" s="10"/>
      <c r="D258" s="11"/>
    </row>
    <row r="259" spans="2:4">
      <c r="B259" s="10"/>
      <c r="D259" s="11"/>
    </row>
    <row r="260" spans="2:4">
      <c r="B260" s="10"/>
      <c r="D260" s="11"/>
    </row>
    <row r="261" spans="2:4">
      <c r="B261" s="10"/>
      <c r="D261" s="11"/>
    </row>
    <row r="262" spans="2:4">
      <c r="B262" s="10"/>
      <c r="D262" s="11"/>
    </row>
    <row r="263" spans="2:4">
      <c r="B263" s="10"/>
      <c r="D263" s="11"/>
    </row>
    <row r="264" spans="2:4">
      <c r="B264" s="10"/>
      <c r="D264" s="11"/>
    </row>
    <row r="265" spans="2:4">
      <c r="B265" s="10"/>
      <c r="D265" s="11"/>
    </row>
    <row r="266" spans="2:4">
      <c r="B266" s="10"/>
      <c r="D266" s="11"/>
    </row>
    <row r="267" spans="2:4">
      <c r="B267" s="10"/>
      <c r="D267" s="11"/>
    </row>
    <row r="268" spans="2:4">
      <c r="B268" s="10"/>
      <c r="D268" s="11"/>
    </row>
    <row r="269" spans="2:4">
      <c r="B269" s="10"/>
      <c r="D269" s="11"/>
    </row>
    <row r="270" spans="2:4">
      <c r="B270" s="10"/>
      <c r="D270" s="11"/>
    </row>
    <row r="271" spans="2:4">
      <c r="B271" s="10"/>
      <c r="D271" s="11"/>
    </row>
    <row r="272" spans="2:4">
      <c r="B272" s="10"/>
      <c r="D272" s="11"/>
    </row>
    <row r="273" spans="2:4">
      <c r="B273" s="10"/>
      <c r="D273" s="11"/>
    </row>
    <row r="274" spans="2:4">
      <c r="B274" s="10"/>
      <c r="D274" s="11"/>
    </row>
    <row r="275" spans="2:4">
      <c r="B275" s="10"/>
      <c r="D275" s="11"/>
    </row>
    <row r="276" spans="2:4">
      <c r="B276" s="10"/>
      <c r="D276" s="11"/>
    </row>
    <row r="277" spans="2:4">
      <c r="B277" s="10"/>
      <c r="D277" s="11"/>
    </row>
    <row r="278" spans="2:4">
      <c r="B278" s="10"/>
      <c r="D278" s="11"/>
    </row>
    <row r="279" spans="2:4">
      <c r="B279" s="10"/>
      <c r="D279" s="11"/>
    </row>
    <row r="280" spans="2:4">
      <c r="B280" s="10"/>
      <c r="D280" s="11"/>
    </row>
    <row r="281" spans="2:4">
      <c r="B281" s="10"/>
      <c r="D281" s="11"/>
    </row>
    <row r="282" spans="2:4">
      <c r="B282" s="10"/>
      <c r="D282" s="11"/>
    </row>
    <row r="283" spans="2:4">
      <c r="B283" s="10"/>
      <c r="D283" s="11"/>
    </row>
    <row r="284" spans="2:4">
      <c r="B284" s="10"/>
      <c r="D284" s="11"/>
    </row>
    <row r="285" spans="2:4">
      <c r="B285" s="10"/>
      <c r="D285" s="11"/>
    </row>
    <row r="286" spans="2:4">
      <c r="B286" s="10"/>
      <c r="D286" s="11"/>
    </row>
    <row r="287" spans="2:4">
      <c r="B287" s="10"/>
      <c r="D287" s="11"/>
    </row>
    <row r="288" spans="2:4">
      <c r="B288" s="10"/>
      <c r="D288" s="11"/>
    </row>
    <row r="289" spans="2:4">
      <c r="B289" s="10"/>
      <c r="D289" s="11"/>
    </row>
    <row r="290" spans="2:4">
      <c r="B290" s="10"/>
      <c r="D290" s="11"/>
    </row>
    <row r="291" spans="2:4">
      <c r="B291" s="10"/>
      <c r="D291" s="11"/>
    </row>
    <row r="292" spans="2:4">
      <c r="B292" s="10"/>
      <c r="D292" s="11"/>
    </row>
    <row r="293" spans="2:4">
      <c r="B293" s="10"/>
      <c r="D293" s="11"/>
    </row>
    <row r="294" spans="2:4">
      <c r="B294" s="10"/>
      <c r="D294" s="11"/>
    </row>
    <row r="295" spans="2:4">
      <c r="B295" s="10"/>
      <c r="D295" s="11"/>
    </row>
    <row r="296" spans="2:4">
      <c r="B296" s="10"/>
      <c r="D296" s="11"/>
    </row>
    <row r="297" spans="2:4">
      <c r="B297" s="10"/>
      <c r="D297" s="11"/>
    </row>
    <row r="298" spans="2:4">
      <c r="B298" s="10"/>
      <c r="D298" s="11"/>
    </row>
    <row r="299" spans="2:4">
      <c r="B299" s="10"/>
      <c r="D299" s="11"/>
    </row>
    <row r="300" spans="2:4">
      <c r="B300" s="10"/>
      <c r="D300" s="11"/>
    </row>
    <row r="301" spans="2:4">
      <c r="B301" s="10"/>
      <c r="D301" s="11"/>
    </row>
    <row r="302" spans="2:4">
      <c r="B302" s="10"/>
      <c r="D302" s="11"/>
    </row>
    <row r="303" spans="2:4">
      <c r="B303" s="10"/>
      <c r="D303" s="11"/>
    </row>
    <row r="304" spans="2:4">
      <c r="B304" s="10"/>
      <c r="D304" s="11"/>
    </row>
    <row r="305" spans="2:4">
      <c r="B305" s="10"/>
      <c r="D305" s="11"/>
    </row>
    <row r="306" spans="2:4">
      <c r="B306" s="10"/>
      <c r="D306" s="11"/>
    </row>
    <row r="307" spans="2:4">
      <c r="B307" s="10"/>
      <c r="D307" s="11"/>
    </row>
    <row r="308" spans="2:4">
      <c r="B308" s="10"/>
      <c r="D308" s="11"/>
    </row>
    <row r="309" spans="2:4">
      <c r="B309" s="10"/>
      <c r="D309" s="11"/>
    </row>
    <row r="310" spans="2:4">
      <c r="B310" s="10"/>
      <c r="D310" s="11"/>
    </row>
    <row r="311" spans="2:4">
      <c r="B311" s="10"/>
      <c r="D311" s="11"/>
    </row>
    <row r="312" spans="2:4">
      <c r="B312" s="10"/>
      <c r="D312" s="11"/>
    </row>
    <row r="313" spans="2:4">
      <c r="B313" s="10"/>
      <c r="D313" s="11"/>
    </row>
    <row r="314" spans="2:4">
      <c r="B314" s="10"/>
      <c r="D314" s="11"/>
    </row>
    <row r="315" spans="2:4">
      <c r="B315" s="10"/>
      <c r="D315" s="11"/>
    </row>
    <row r="316" spans="2:4">
      <c r="B316" s="10"/>
      <c r="D316" s="11"/>
    </row>
    <row r="317" spans="2:4">
      <c r="B317" s="10"/>
      <c r="D317" s="11"/>
    </row>
    <row r="318" spans="2:4">
      <c r="B318" s="10"/>
      <c r="D318" s="11"/>
    </row>
    <row r="319" spans="2:4">
      <c r="B319" s="10"/>
      <c r="D319" s="11"/>
    </row>
    <row r="320" spans="2:4">
      <c r="B320" s="10"/>
      <c r="D320" s="11"/>
    </row>
    <row r="321" spans="2:4">
      <c r="B321" s="10"/>
      <c r="D321" s="11"/>
    </row>
    <row r="322" spans="2:4">
      <c r="B322" s="10"/>
      <c r="D322" s="11"/>
    </row>
    <row r="323" spans="2:4">
      <c r="B323" s="10"/>
      <c r="D323" s="11"/>
    </row>
    <row r="324" spans="2:4">
      <c r="B324" s="10"/>
      <c r="D324" s="11"/>
    </row>
    <row r="325" spans="2:4">
      <c r="B325" s="10"/>
      <c r="D325" s="11"/>
    </row>
    <row r="326" spans="2:4">
      <c r="B326" s="10"/>
      <c r="D326" s="11"/>
    </row>
    <row r="327" spans="2:4">
      <c r="B327" s="10"/>
      <c r="D327" s="11"/>
    </row>
    <row r="328" spans="2:4">
      <c r="B328" s="10"/>
      <c r="D328" s="11"/>
    </row>
    <row r="329" spans="2:4">
      <c r="B329" s="10"/>
      <c r="D329" s="11"/>
    </row>
    <row r="330" spans="2:4">
      <c r="B330" s="10"/>
      <c r="D330" s="11"/>
    </row>
    <row r="331" spans="2:4">
      <c r="B331" s="10"/>
      <c r="D331" s="11"/>
    </row>
    <row r="332" spans="2:4">
      <c r="B332" s="10"/>
      <c r="D332" s="11"/>
    </row>
    <row r="333" spans="2:4">
      <c r="B333" s="10"/>
      <c r="D333" s="11"/>
    </row>
    <row r="334" spans="2:4">
      <c r="B334" s="10"/>
      <c r="D334" s="11"/>
    </row>
    <row r="335" spans="2:4">
      <c r="B335" s="10"/>
      <c r="D335" s="11"/>
    </row>
    <row r="336" spans="2:4">
      <c r="B336" s="10"/>
      <c r="D336" s="11"/>
    </row>
    <row r="337" spans="2:4">
      <c r="B337" s="10"/>
      <c r="D337" s="11"/>
    </row>
    <row r="338" spans="2:4">
      <c r="B338" s="10"/>
      <c r="D338" s="11"/>
    </row>
    <row r="339" spans="2:4">
      <c r="B339" s="10"/>
      <c r="D339" s="11"/>
    </row>
    <row r="340" spans="2:4">
      <c r="B340" s="10"/>
      <c r="D340" s="11"/>
    </row>
    <row r="341" spans="2:4">
      <c r="B341" s="10"/>
      <c r="D341" s="11"/>
    </row>
    <row r="342" spans="2:4">
      <c r="B342" s="10"/>
      <c r="D342" s="11"/>
    </row>
    <row r="343" spans="2:4">
      <c r="B343" s="10"/>
      <c r="D343" s="11"/>
    </row>
    <row r="344" spans="2:4">
      <c r="B344" s="10"/>
      <c r="D344" s="11"/>
    </row>
    <row r="345" spans="2:4">
      <c r="B345" s="10"/>
      <c r="D345" s="11"/>
    </row>
    <row r="346" spans="2:4">
      <c r="B346" s="10"/>
      <c r="D346" s="11"/>
    </row>
    <row r="347" spans="2:4">
      <c r="B347" s="10"/>
      <c r="D347" s="11"/>
    </row>
    <row r="348" spans="2:4">
      <c r="B348" s="10"/>
      <c r="D348" s="11"/>
    </row>
    <row r="349" spans="2:4">
      <c r="B349" s="10"/>
      <c r="D349" s="11"/>
    </row>
    <row r="350" spans="2:4">
      <c r="B350" s="10"/>
      <c r="D350" s="11"/>
    </row>
    <row r="351" spans="2:4">
      <c r="B351" s="10"/>
      <c r="D351" s="11"/>
    </row>
    <row r="352" spans="2:4">
      <c r="B352" s="10"/>
      <c r="D352" s="11"/>
    </row>
    <row r="353" spans="2:4">
      <c r="B353" s="10"/>
      <c r="D353" s="11"/>
    </row>
    <row r="354" spans="2:4">
      <c r="B354" s="10"/>
      <c r="D354" s="11"/>
    </row>
    <row r="355" spans="2:4">
      <c r="B355" s="10"/>
      <c r="D355" s="11"/>
    </row>
    <row r="356" spans="2:4">
      <c r="B356" s="10"/>
      <c r="D356" s="11"/>
    </row>
    <row r="357" spans="2:4">
      <c r="B357" s="10"/>
      <c r="D357" s="11"/>
    </row>
    <row r="358" spans="2:4">
      <c r="B358" s="10"/>
      <c r="D358" s="11"/>
    </row>
    <row r="359" spans="2:4">
      <c r="B359" s="10"/>
      <c r="D359" s="11"/>
    </row>
    <row r="360" spans="2:4">
      <c r="B360" s="10"/>
      <c r="D360" s="11"/>
    </row>
    <row r="361" spans="2:4">
      <c r="B361" s="10"/>
      <c r="D361" s="11"/>
    </row>
    <row r="362" spans="2:4">
      <c r="B362" s="10"/>
      <c r="D362" s="11"/>
    </row>
    <row r="363" spans="2:4">
      <c r="B363" s="10"/>
      <c r="D363" s="11"/>
    </row>
    <row r="364" spans="2:4">
      <c r="B364" s="10"/>
      <c r="D364" s="11"/>
    </row>
    <row r="365" spans="2:4">
      <c r="B365" s="10"/>
      <c r="D365" s="11"/>
    </row>
    <row r="366" spans="2:4">
      <c r="B366" s="10"/>
      <c r="D366" s="11"/>
    </row>
    <row r="367" spans="2:4">
      <c r="B367" s="10"/>
      <c r="D367" s="11"/>
    </row>
    <row r="368" spans="2:4">
      <c r="B368" s="10"/>
      <c r="D368" s="11"/>
    </row>
    <row r="369" spans="2:4">
      <c r="B369" s="10"/>
      <c r="D369" s="11"/>
    </row>
    <row r="370" spans="2:4">
      <c r="B370" s="10"/>
      <c r="D370" s="11"/>
    </row>
    <row r="371" spans="2:4">
      <c r="B371" s="10"/>
      <c r="D371" s="11"/>
    </row>
    <row r="372" spans="2:4">
      <c r="B372" s="10"/>
      <c r="D372" s="11"/>
    </row>
    <row r="373" spans="2:4">
      <c r="B373" s="10"/>
      <c r="D373" s="11"/>
    </row>
    <row r="374" spans="2:4">
      <c r="B374" s="10"/>
      <c r="D374" s="11"/>
    </row>
    <row r="375" spans="2:4">
      <c r="B375" s="10"/>
      <c r="D375" s="11"/>
    </row>
    <row r="376" spans="2:4">
      <c r="B376" s="10"/>
      <c r="D376" s="11"/>
    </row>
    <row r="377" spans="2:4">
      <c r="B377" s="10"/>
      <c r="D377" s="11"/>
    </row>
    <row r="378" spans="2:4">
      <c r="B378" s="10"/>
      <c r="D378" s="11"/>
    </row>
    <row r="379" spans="2:4">
      <c r="B379" s="10"/>
      <c r="D379" s="11"/>
    </row>
    <row r="380" spans="2:4">
      <c r="B380" s="10"/>
      <c r="D380" s="11"/>
    </row>
    <row r="381" spans="2:4">
      <c r="B381" s="10"/>
      <c r="D381" s="11"/>
    </row>
    <row r="382" spans="2:4">
      <c r="B382" s="10"/>
      <c r="D382" s="11"/>
    </row>
    <row r="383" spans="2:4">
      <c r="B383" s="10"/>
      <c r="D383" s="11"/>
    </row>
    <row r="384" spans="2:4">
      <c r="B384" s="10"/>
      <c r="D384" s="11"/>
    </row>
    <row r="385" spans="2:4">
      <c r="B385" s="10"/>
      <c r="D385" s="11"/>
    </row>
    <row r="386" spans="2:4">
      <c r="B386" s="10"/>
      <c r="D386" s="11"/>
    </row>
    <row r="387" spans="2:4">
      <c r="B387" s="10"/>
      <c r="D387" s="11"/>
    </row>
    <row r="388" spans="2:4">
      <c r="B388" s="10"/>
      <c r="D388" s="11"/>
    </row>
    <row r="389" spans="2:4">
      <c r="B389" s="10"/>
      <c r="D389" s="11"/>
    </row>
    <row r="390" spans="2:4">
      <c r="B390" s="10"/>
      <c r="D390" s="11"/>
    </row>
    <row r="391" spans="2:4">
      <c r="B391" s="10"/>
      <c r="D391" s="11"/>
    </row>
    <row r="392" spans="2:4">
      <c r="B392" s="10"/>
      <c r="D392" s="11"/>
    </row>
    <row r="393" spans="2:4">
      <c r="B393" s="10"/>
      <c r="D393" s="11"/>
    </row>
    <row r="394" spans="2:4">
      <c r="B394" s="10"/>
      <c r="D394" s="11"/>
    </row>
    <row r="395" spans="2:4">
      <c r="B395" s="10"/>
      <c r="D395" s="11"/>
    </row>
    <row r="396" spans="2:4">
      <c r="B396" s="10"/>
      <c r="D396" s="11"/>
    </row>
    <row r="397" spans="2:4">
      <c r="B397" s="10"/>
      <c r="D397" s="11"/>
    </row>
    <row r="398" spans="2:4">
      <c r="B398" s="10"/>
      <c r="D398" s="11"/>
    </row>
    <row r="399" spans="2:4">
      <c r="B399" s="10"/>
      <c r="D399" s="11"/>
    </row>
    <row r="400" spans="2:4">
      <c r="B400" s="10"/>
      <c r="D400" s="11"/>
    </row>
    <row r="401" spans="2:4">
      <c r="B401" s="10"/>
      <c r="D401" s="11"/>
    </row>
    <row r="402" spans="2:4">
      <c r="B402" s="10"/>
      <c r="D402" s="11"/>
    </row>
    <row r="403" spans="2:4">
      <c r="B403" s="10"/>
      <c r="D403" s="11"/>
    </row>
    <row r="404" spans="2:4">
      <c r="B404" s="10"/>
      <c r="D404" s="11"/>
    </row>
    <row r="405" spans="2:4">
      <c r="B405" s="10"/>
      <c r="D405" s="11"/>
    </row>
    <row r="406" spans="2:4">
      <c r="B406" s="10"/>
      <c r="D406" s="11"/>
    </row>
    <row r="407" spans="2:4">
      <c r="B407" s="10"/>
      <c r="D407" s="11"/>
    </row>
    <row r="408" spans="2:4">
      <c r="B408" s="10"/>
      <c r="D408" s="11"/>
    </row>
    <row r="409" spans="2:4">
      <c r="B409" s="10"/>
      <c r="D409" s="11"/>
    </row>
    <row r="410" spans="2:4">
      <c r="B410" s="10"/>
      <c r="D410" s="11"/>
    </row>
    <row r="411" spans="2:4">
      <c r="B411" s="10"/>
      <c r="D411" s="11"/>
    </row>
    <row r="412" spans="2:4">
      <c r="B412" s="10"/>
      <c r="D412" s="11"/>
    </row>
    <row r="413" spans="2:4">
      <c r="B413" s="10"/>
      <c r="D413" s="11"/>
    </row>
    <row r="414" spans="2:4">
      <c r="B414" s="10"/>
      <c r="D414" s="11"/>
    </row>
    <row r="415" spans="2:4">
      <c r="B415" s="10"/>
      <c r="D415" s="11"/>
    </row>
    <row r="416" spans="2:4">
      <c r="B416" s="10"/>
      <c r="D416" s="11"/>
    </row>
    <row r="417" spans="2:4">
      <c r="B417" s="10"/>
      <c r="D417" s="11"/>
    </row>
    <row r="418" spans="2:4">
      <c r="B418" s="10"/>
      <c r="D418" s="11"/>
    </row>
    <row r="419" spans="2:4">
      <c r="B419" s="10"/>
      <c r="D419" s="11"/>
    </row>
    <row r="420" spans="2:4">
      <c r="B420" s="10"/>
      <c r="D420" s="11"/>
    </row>
    <row r="421" spans="2:4">
      <c r="B421" s="10"/>
      <c r="D421" s="11"/>
    </row>
    <row r="422" spans="2:4">
      <c r="B422" s="10"/>
      <c r="D422" s="11"/>
    </row>
    <row r="423" spans="2:4">
      <c r="B423" s="10"/>
      <c r="D423" s="11"/>
    </row>
    <row r="424" spans="2:4">
      <c r="B424" s="10"/>
      <c r="D424" s="11"/>
    </row>
    <row r="425" spans="2:4">
      <c r="B425" s="10"/>
      <c r="D425" s="11"/>
    </row>
    <row r="426" spans="2:4">
      <c r="B426" s="10"/>
      <c r="D426" s="11"/>
    </row>
    <row r="427" spans="2:4">
      <c r="B427" s="10"/>
      <c r="D427" s="11"/>
    </row>
    <row r="428" spans="2:4">
      <c r="B428" s="10"/>
      <c r="D428" s="11"/>
    </row>
    <row r="429" spans="2:4">
      <c r="B429" s="10"/>
      <c r="D429" s="11"/>
    </row>
    <row r="430" spans="2:4">
      <c r="B430" s="10"/>
      <c r="D430" s="11"/>
    </row>
    <row r="431" spans="2:4">
      <c r="B431" s="10"/>
      <c r="D431" s="11"/>
    </row>
    <row r="432" spans="2:4">
      <c r="B432" s="10"/>
      <c r="D432" s="11"/>
    </row>
    <row r="433" spans="2:4">
      <c r="B433" s="10"/>
      <c r="D433" s="11"/>
    </row>
    <row r="434" spans="2:4">
      <c r="B434" s="10"/>
      <c r="D434" s="11"/>
    </row>
    <row r="435" spans="2:4">
      <c r="B435" s="10"/>
      <c r="D435" s="11"/>
    </row>
    <row r="436" spans="2:4">
      <c r="B436" s="10"/>
      <c r="D436" s="11"/>
    </row>
    <row r="437" spans="2:4">
      <c r="B437" s="10"/>
      <c r="D437" s="11"/>
    </row>
    <row r="438" spans="2:4">
      <c r="B438" s="10"/>
      <c r="D438" s="11"/>
    </row>
    <row r="439" spans="2:4">
      <c r="B439" s="10"/>
      <c r="D439" s="11"/>
    </row>
    <row r="440" spans="2:4">
      <c r="B440" s="10"/>
      <c r="D440" s="11"/>
    </row>
    <row r="441" spans="2:4">
      <c r="B441" s="10"/>
      <c r="D441" s="11"/>
    </row>
    <row r="442" spans="2:4">
      <c r="B442" s="10"/>
      <c r="D442" s="11"/>
    </row>
    <row r="443" spans="2:4">
      <c r="B443" s="10"/>
      <c r="D443" s="11"/>
    </row>
    <row r="444" spans="2:4">
      <c r="B444" s="10"/>
      <c r="D444" s="11"/>
    </row>
    <row r="445" spans="2:4">
      <c r="B445" s="10"/>
      <c r="D445" s="11"/>
    </row>
    <row r="446" spans="2:4">
      <c r="B446" s="10"/>
      <c r="D446" s="11"/>
    </row>
    <row r="447" spans="2:4">
      <c r="B447" s="10"/>
      <c r="D447" s="11"/>
    </row>
    <row r="448" spans="2:4">
      <c r="B448" s="10"/>
      <c r="D448" s="11"/>
    </row>
    <row r="449" spans="2:4">
      <c r="B449" s="10"/>
      <c r="D449" s="11"/>
    </row>
    <row r="450" spans="2:4">
      <c r="B450" s="10"/>
      <c r="D450" s="11"/>
    </row>
    <row r="451" spans="2:4">
      <c r="B451" s="10"/>
      <c r="D451" s="11"/>
    </row>
    <row r="452" spans="2:4">
      <c r="B452" s="10"/>
      <c r="D452" s="11"/>
    </row>
    <row r="453" spans="2:4">
      <c r="B453" s="10"/>
      <c r="D453" s="11"/>
    </row>
    <row r="454" spans="2:4">
      <c r="B454" s="10"/>
      <c r="D454" s="11"/>
    </row>
    <row r="455" spans="2:4">
      <c r="B455" s="10"/>
      <c r="D455" s="11"/>
    </row>
    <row r="456" spans="2:4">
      <c r="B456" s="10"/>
      <c r="D456" s="11"/>
    </row>
    <row r="457" spans="2:4">
      <c r="B457" s="10"/>
      <c r="D457" s="11"/>
    </row>
    <row r="458" spans="2:4">
      <c r="B458" s="10"/>
      <c r="D458" s="11"/>
    </row>
    <row r="459" spans="2:4">
      <c r="B459" s="10"/>
      <c r="D459" s="11"/>
    </row>
    <row r="460" spans="2:4">
      <c r="B460" s="10"/>
      <c r="D460" s="11"/>
    </row>
    <row r="461" spans="2:4">
      <c r="B461" s="10"/>
      <c r="D461" s="11"/>
    </row>
    <row r="462" spans="2:4">
      <c r="B462" s="10"/>
      <c r="D462" s="11"/>
    </row>
    <row r="463" spans="2:4">
      <c r="B463" s="10"/>
      <c r="D463" s="11"/>
    </row>
    <row r="464" spans="2:4">
      <c r="B464" s="10"/>
      <c r="D464" s="11"/>
    </row>
    <row r="465" spans="2:4">
      <c r="B465" s="10"/>
      <c r="D465" s="11"/>
    </row>
    <row r="466" spans="2:4">
      <c r="B466" s="10"/>
      <c r="D466" s="11"/>
    </row>
    <row r="467" spans="2:4">
      <c r="B467" s="10"/>
      <c r="D467" s="11"/>
    </row>
    <row r="468" spans="2:4">
      <c r="B468" s="10"/>
      <c r="D468" s="11"/>
    </row>
    <row r="469" spans="2:4">
      <c r="B469" s="10"/>
      <c r="D469" s="11"/>
    </row>
    <row r="470" spans="2:4">
      <c r="B470" s="10"/>
      <c r="D470" s="11"/>
    </row>
    <row r="471" spans="2:4">
      <c r="B471" s="10"/>
      <c r="D471" s="11"/>
    </row>
    <row r="472" spans="2:4">
      <c r="B472" s="10"/>
      <c r="D472" s="11"/>
    </row>
    <row r="473" spans="2:4">
      <c r="B473" s="10"/>
      <c r="D473" s="11"/>
    </row>
    <row r="474" spans="2:4">
      <c r="B474" s="10"/>
      <c r="D474" s="11"/>
    </row>
    <row r="475" spans="2:4">
      <c r="B475" s="10"/>
      <c r="D475" s="11"/>
    </row>
    <row r="476" spans="2:4">
      <c r="B476" s="10"/>
      <c r="D476" s="11"/>
    </row>
    <row r="477" spans="2:4">
      <c r="B477" s="10"/>
      <c r="D477" s="11"/>
    </row>
    <row r="478" spans="2:4">
      <c r="B478" s="10"/>
      <c r="D478" s="11"/>
    </row>
    <row r="479" spans="2:4">
      <c r="B479" s="10"/>
      <c r="D479" s="11"/>
    </row>
    <row r="480" spans="2:4">
      <c r="B480" s="10"/>
      <c r="D480" s="11"/>
    </row>
    <row r="481" spans="2:4">
      <c r="B481" s="10"/>
      <c r="D481" s="11"/>
    </row>
    <row r="482" spans="2:4">
      <c r="B482" s="10"/>
      <c r="D482" s="11"/>
    </row>
    <row r="483" spans="2:4">
      <c r="B483" s="10"/>
      <c r="D483" s="11"/>
    </row>
    <row r="484" spans="2:4">
      <c r="B484" s="10"/>
      <c r="D484" s="11"/>
    </row>
    <row r="485" spans="2:4">
      <c r="B485" s="10"/>
      <c r="D485" s="11"/>
    </row>
    <row r="486" spans="2:4">
      <c r="B486" s="10"/>
      <c r="D486" s="11"/>
    </row>
    <row r="487" spans="2:4">
      <c r="B487" s="10"/>
      <c r="D487" s="11"/>
    </row>
    <row r="488" spans="2:4">
      <c r="B488" s="10"/>
      <c r="D488" s="11"/>
    </row>
    <row r="489" spans="2:4">
      <c r="B489" s="10"/>
      <c r="D489" s="11"/>
    </row>
    <row r="490" spans="2:4">
      <c r="B490" s="10"/>
      <c r="D490" s="11"/>
    </row>
    <row r="491" spans="2:4">
      <c r="B491" s="10"/>
      <c r="D491" s="11"/>
    </row>
    <row r="492" spans="2:4">
      <c r="B492" s="10"/>
      <c r="D492" s="11"/>
    </row>
    <row r="493" spans="2:4">
      <c r="B493" s="10"/>
      <c r="D493" s="11"/>
    </row>
    <row r="494" spans="2:4">
      <c r="B494" s="10"/>
      <c r="D494" s="11"/>
    </row>
    <row r="495" spans="2:4">
      <c r="B495" s="10"/>
      <c r="D495" s="11"/>
    </row>
    <row r="496" spans="2:4">
      <c r="B496" s="10"/>
      <c r="D496" s="11"/>
    </row>
    <row r="497" spans="2:4">
      <c r="B497" s="10"/>
      <c r="D497" s="11"/>
    </row>
    <row r="498" spans="2:4">
      <c r="B498" s="10"/>
      <c r="D498" s="11"/>
    </row>
    <row r="499" spans="2:4">
      <c r="B499" s="10"/>
      <c r="D499" s="11"/>
    </row>
    <row r="500" spans="2:4">
      <c r="B500" s="10"/>
      <c r="D500" s="11"/>
    </row>
  </sheetData>
  <dataValidations count="3">
    <dataValidation type="date" operator="greaterThanOrEqual" allowBlank="1" showErrorMessage="1" errorTitle="Data inválida" error="Informe uma data válida." sqref="B9:B500">
      <formula1>DATE(2000,1,1)</formula1>
    </dataValidation>
    <dataValidation type="list" allowBlank="1" showErrorMessage="1" errorTitle="Categoria inválida" error="Escolha HOLERITE, CNPJ ou FREELANCE." sqref="C9:C500">
      <formula1>lista_categorias</formula1>
    </dataValidation>
    <dataValidation type="decimal" operator="greaterThan" allowBlank="1" showErrorMessage="1" errorTitle="Valor inválido" error="O valor deve ser maior que zero." sqref="D9:D500">
      <formula1>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8"/>
  <sheetViews>
    <sheetView showGridLines="0" showRowColHeaders="0" workbookViewId="0">
      <selection activeCell="C8" sqref="C8"/>
    </sheetView>
  </sheetViews>
  <sheetFormatPr defaultColWidth="9" defaultRowHeight="15" outlineLevelCol="3"/>
  <cols>
    <col min="1" max="1" width="2" customWidth="1"/>
    <col min="2" max="2" width="30" customWidth="1"/>
    <col min="3" max="3" width="20" customWidth="1"/>
    <col min="4" max="4" width="16" customWidth="1"/>
  </cols>
  <sheetData>
    <row r="1" spans="2:4">
      <c r="B1" s="1" t="str">
        <f>HYPERLINK("#MENU!A1","&lt; Voltar ao menu")</f>
        <v>&lt; Voltar ao menu</v>
      </c>
    </row>
    <row r="2" ht="28" customHeight="1" spans="2:4">
      <c r="B2" s="2" t="s">
        <v>52</v>
      </c>
      <c r="C2" s="3"/>
      <c r="D2" s="3"/>
    </row>
    <row r="3" spans="2:4">
      <c r="B3" s="4" t="s">
        <v>53</v>
      </c>
      <c r="C3" s="3"/>
      <c r="D3" s="3"/>
    </row>
    <row r="6" spans="2:4">
      <c r="B6" t="s">
        <v>54</v>
      </c>
      <c r="C6" s="5">
        <f>SUM(valores)</f>
        <v>57050</v>
      </c>
    </row>
    <row r="7" spans="2:4">
      <c r="B7" t="s">
        <v>55</v>
      </c>
      <c r="C7" s="6">
        <f>COUNT(valores)</f>
        <v>16</v>
      </c>
    </row>
    <row r="8" spans="2:4">
      <c r="B8" t="s">
        <v>56</v>
      </c>
      <c r="C8" s="5">
        <f>C6/12</f>
        <v>4754.16666666667</v>
      </c>
    </row>
    <row r="9" spans="2:4">
      <c r="B9" t="s">
        <v>57</v>
      </c>
      <c r="C9" s="5">
        <f>INFORMES!C5</f>
        <v>25000.5</v>
      </c>
    </row>
    <row r="11" spans="2:4">
      <c r="B11" s="7" t="s">
        <v>58</v>
      </c>
      <c r="C11" s="7" t="s">
        <v>59</v>
      </c>
      <c r="D11" s="7" t="s">
        <v>60</v>
      </c>
    </row>
    <row r="12" spans="2:4">
      <c r="B12" t="s">
        <v>49</v>
      </c>
      <c r="C12" s="5">
        <f>SUMIF(categorias_notas,B12,valores)</f>
        <v>51600</v>
      </c>
      <c r="D12" s="8">
        <f>IFERROR(C12/$C$6,0)</f>
        <v>0.904469763365469</v>
      </c>
    </row>
    <row r="13" spans="2:4">
      <c r="B13" t="s">
        <v>51</v>
      </c>
      <c r="C13" s="5">
        <f>SUMIF(categorias_notas,B13,valores)</f>
        <v>2500</v>
      </c>
      <c r="D13" s="8">
        <f>IFERROR(C13/$C$6,0)</f>
        <v>0.0438212094653812</v>
      </c>
    </row>
    <row r="14" spans="2:4">
      <c r="B14" t="s">
        <v>50</v>
      </c>
      <c r="C14" s="5">
        <f>SUMIF(categorias_notas,B14,valores)</f>
        <v>2950</v>
      </c>
      <c r="D14" s="8">
        <f>IFERROR(C14/$C$6,0)</f>
        <v>0.0517090271691499</v>
      </c>
    </row>
    <row r="16" spans="2:4">
      <c r="B16" s="7" t="s">
        <v>61</v>
      </c>
      <c r="C16" s="7" t="s">
        <v>62</v>
      </c>
      <c r="D16" s="7" t="s">
        <v>59</v>
      </c>
    </row>
    <row r="17" spans="2:4">
      <c r="B17" t="s">
        <v>63</v>
      </c>
      <c r="C17" s="9">
        <v>1</v>
      </c>
      <c r="D17" s="5">
        <f>SUMPRODUCT((MONTH(datas)=C17)*valores)</f>
        <v>4200</v>
      </c>
    </row>
    <row r="18" spans="2:4">
      <c r="B18" t="s">
        <v>64</v>
      </c>
      <c r="C18" s="9">
        <v>2</v>
      </c>
      <c r="D18" s="5">
        <f>SUMPRODUCT((MONTH(datas)=C18)*valores)</f>
        <v>4200</v>
      </c>
    </row>
    <row r="19" spans="2:4">
      <c r="B19" t="s">
        <v>65</v>
      </c>
      <c r="C19" s="9">
        <v>3</v>
      </c>
      <c r="D19" s="5">
        <f>SUMPRODUCT((MONTH(datas)=C19)*valores)</f>
        <v>5000</v>
      </c>
    </row>
    <row r="20" spans="2:4">
      <c r="B20" t="s">
        <v>66</v>
      </c>
      <c r="C20" s="9">
        <v>4</v>
      </c>
      <c r="D20" s="5">
        <f>SUMPRODUCT((MONTH(datas)=C20)*valores)</f>
        <v>4200</v>
      </c>
    </row>
    <row r="21" spans="2:4">
      <c r="B21" t="s">
        <v>67</v>
      </c>
      <c r="C21" s="9">
        <v>5</v>
      </c>
      <c r="D21" s="5">
        <f>SUMPRODUCT((MONTH(datas)=C21)*valores)</f>
        <v>4350</v>
      </c>
    </row>
    <row r="22" spans="2:4">
      <c r="B22" t="s">
        <v>68</v>
      </c>
      <c r="C22" s="9">
        <v>6</v>
      </c>
      <c r="D22" s="5">
        <f>SUMPRODUCT((MONTH(datas)=C22)*valores)</f>
        <v>5550</v>
      </c>
    </row>
    <row r="23" spans="2:4">
      <c r="B23" t="s">
        <v>69</v>
      </c>
      <c r="C23" s="9">
        <v>7</v>
      </c>
      <c r="D23" s="5">
        <f>SUMPRODUCT((MONTH(datas)=C23)*valores)</f>
        <v>4350</v>
      </c>
    </row>
    <row r="24" spans="2:4">
      <c r="B24" t="s">
        <v>70</v>
      </c>
      <c r="C24" s="9">
        <v>8</v>
      </c>
      <c r="D24" s="5">
        <f>SUMPRODUCT((MONTH(datas)=C24)*valores)</f>
        <v>4350</v>
      </c>
    </row>
    <row r="25" spans="2:4">
      <c r="B25" t="s">
        <v>71</v>
      </c>
      <c r="C25" s="9">
        <v>9</v>
      </c>
      <c r="D25" s="5">
        <f>SUMPRODUCT((MONTH(datas)=C25)*valores)</f>
        <v>6850</v>
      </c>
    </row>
    <row r="26" spans="2:4">
      <c r="B26" t="s">
        <v>72</v>
      </c>
      <c r="C26" s="9">
        <v>10</v>
      </c>
      <c r="D26" s="5">
        <f>SUMPRODUCT((MONTH(datas)=C26)*valores)</f>
        <v>4350</v>
      </c>
    </row>
    <row r="27" spans="2:4">
      <c r="B27" t="s">
        <v>73</v>
      </c>
      <c r="C27" s="9">
        <v>11</v>
      </c>
      <c r="D27" s="5">
        <f>SUMPRODUCT((MONTH(datas)=C27)*valores)</f>
        <v>5300</v>
      </c>
    </row>
    <row r="28" spans="2:4">
      <c r="B28" t="s">
        <v>74</v>
      </c>
      <c r="C28" s="9">
        <v>12</v>
      </c>
      <c r="D28" s="5">
        <f>SUMPRODUCT((MONTH(datas)=C28)*valores)</f>
        <v>4350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"/>
    </sheetView>
  </sheetViews>
  <sheetFormatPr defaultColWidth="9" defaultRowHeight="15" outlineLevelCol="2"/>
  <sheetData>
    <row r="1" spans="1:3">
      <c r="A1" t="s">
        <v>75</v>
      </c>
      <c r="C1" t="s">
        <v>76</v>
      </c>
    </row>
    <row r="2" spans="1:3">
      <c r="A2" t="s">
        <v>77</v>
      </c>
      <c r="C2" t="s">
        <v>49</v>
      </c>
    </row>
    <row r="3" spans="1:3">
      <c r="A3" t="s">
        <v>78</v>
      </c>
      <c r="C3" t="s">
        <v>51</v>
      </c>
    </row>
    <row r="4" spans="1:3">
      <c r="A4" t="s">
        <v>79</v>
      </c>
      <c r="C4" t="s">
        <v>50</v>
      </c>
    </row>
    <row r="5" spans="1:3">
      <c r="A5" t="s">
        <v>80</v>
      </c>
    </row>
    <row r="6" spans="1:3">
      <c r="A6" t="s">
        <v>81</v>
      </c>
    </row>
    <row r="7" spans="1:3">
      <c r="A7" t="s">
        <v>82</v>
      </c>
    </row>
    <row r="8" spans="1:3">
      <c r="A8" t="s">
        <v>83</v>
      </c>
    </row>
    <row r="9" spans="1:3">
      <c r="A9" t="s">
        <v>84</v>
      </c>
    </row>
    <row r="10" spans="1:3">
      <c r="A10" t="s">
        <v>85</v>
      </c>
    </row>
    <row r="11" spans="1:3">
      <c r="A11" t="s">
        <v>86</v>
      </c>
    </row>
    <row r="12" spans="1:3">
      <c r="A12" t="s">
        <v>87</v>
      </c>
    </row>
    <row r="13" spans="1:3">
      <c r="A13" t="s">
        <v>88</v>
      </c>
    </row>
    <row r="14" spans="1:3">
      <c r="A14" t="s">
        <v>89</v>
      </c>
    </row>
    <row r="15" spans="1:3">
      <c r="A15" t="s">
        <v>90</v>
      </c>
    </row>
    <row r="16" spans="1:3">
      <c r="A16" t="s">
        <v>42</v>
      </c>
    </row>
    <row r="17" spans="1:1">
      <c r="A17" t="s">
        <v>91</v>
      </c>
    </row>
    <row r="18" spans="1:1">
      <c r="A18" t="s">
        <v>92</v>
      </c>
    </row>
    <row r="19" spans="1:1">
      <c r="A19" t="s">
        <v>93</v>
      </c>
    </row>
    <row r="20" spans="1:1">
      <c r="A20" t="s">
        <v>39</v>
      </c>
    </row>
    <row r="21" spans="1:1">
      <c r="A21" t="s">
        <v>34</v>
      </c>
    </row>
    <row r="22" spans="1:1">
      <c r="A22" t="s">
        <v>94</v>
      </c>
    </row>
    <row r="23" spans="1:1">
      <c r="A23" t="s">
        <v>95</v>
      </c>
    </row>
    <row r="24" spans="1:1">
      <c r="A24" t="s">
        <v>96</v>
      </c>
    </row>
    <row r="25" spans="1:1">
      <c r="A25" t="s">
        <v>97</v>
      </c>
    </row>
    <row r="26" spans="1:1">
      <c r="A26" t="s">
        <v>98</v>
      </c>
    </row>
    <row r="27" spans="1:1">
      <c r="A27" t="s">
        <v>99</v>
      </c>
    </row>
    <row r="28" spans="1:1">
      <c r="A28" t="s">
        <v>100</v>
      </c>
    </row>
    <row r="29" spans="1:1">
      <c r="A29" t="s">
        <v>101</v>
      </c>
    </row>
    <row r="30" spans="1:1">
      <c r="A30" t="s">
        <v>102</v>
      </c>
    </row>
    <row r="31" spans="1:1">
      <c r="A31" t="s">
        <v>103</v>
      </c>
    </row>
    <row r="32" spans="1:1">
      <c r="A32" t="s">
        <v>104</v>
      </c>
    </row>
    <row r="33" spans="1:1">
      <c r="A33" t="s">
        <v>105</v>
      </c>
    </row>
    <row r="34" spans="1:1">
      <c r="A34" t="s">
        <v>106</v>
      </c>
    </row>
    <row r="35" spans="1:1">
      <c r="A35" t="s">
        <v>107</v>
      </c>
    </row>
    <row r="36" spans="1:1">
      <c r="A36" t="s">
        <v>108</v>
      </c>
    </row>
    <row r="37" spans="1:1">
      <c r="A37" t="s">
        <v>109</v>
      </c>
    </row>
    <row r="38" spans="1:1">
      <c r="A38" t="s">
        <v>110</v>
      </c>
    </row>
    <row r="39" spans="1:1">
      <c r="A39" t="s">
        <v>111</v>
      </c>
    </row>
    <row r="40" spans="1:1">
      <c r="A40" t="s">
        <v>112</v>
      </c>
    </row>
    <row r="41" spans="1:1">
      <c r="A41" t="s">
        <v>113</v>
      </c>
    </row>
    <row r="42" spans="1:1">
      <c r="A42" t="s">
        <v>114</v>
      </c>
    </row>
    <row r="43" spans="1:1">
      <c r="A43" t="s">
        <v>115</v>
      </c>
    </row>
    <row r="44" spans="1:1">
      <c r="A44" t="s">
        <v>116</v>
      </c>
    </row>
    <row r="45" spans="1:1">
      <c r="A45" t="s">
        <v>117</v>
      </c>
    </row>
    <row r="46" spans="1:1">
      <c r="A46" t="s">
        <v>118</v>
      </c>
    </row>
    <row r="47" spans="1:1">
      <c r="A47" t="s">
        <v>119</v>
      </c>
    </row>
    <row r="48" spans="1:1">
      <c r="A48" t="s">
        <v>120</v>
      </c>
    </row>
    <row r="49" spans="1:1">
      <c r="A49" t="s">
        <v>121</v>
      </c>
    </row>
    <row r="50" spans="1:1">
      <c r="A50" t="s">
        <v>122</v>
      </c>
    </row>
    <row r="51" spans="1:1">
      <c r="A51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RESUMO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</cp:lastModifiedBy>
  <dcterms:created xsi:type="dcterms:W3CDTF">2026-10-07T15:40:00Z</dcterms:created>
  <dcterms:modified xsi:type="dcterms:W3CDTF">2026-10-07T15:42:27Z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BDD59E205EE34566BDB92019EC6DD6BE_12</vt:lpwstr>
  </property>
  <property fmtid="{D5CDD505-2E9C-101B-9397-08002B2CF9AE}" pid="3" name="KSOProductBuildVer">
    <vt:lpwstr>2070-12.1.0.28485</vt:lpwstr>
  </property>
  <property fmtid="{D5CDD505-2E9C-101B-9397-08002B2CF9AE}" pid="4" name="CalculationRule">
    <vt:i4>0</vt:i4>
  </property>
</Properties>
</file>